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igma\apps\reactjs\tww\tww-service\app\backend\"/>
    </mc:Choice>
  </mc:AlternateContent>
  <xr:revisionPtr revIDLastSave="0" documentId="8_{8519D72B-4485-4938-803A-5E7F63BB984B}" xr6:coauthVersionLast="47" xr6:coauthVersionMax="47" xr10:uidLastSave="{00000000-0000-0000-0000-000000000000}"/>
  <bookViews>
    <workbookView xWindow="-108" yWindow="-108" windowWidth="23256" windowHeight="12456" xr2:uid="{216FD854-A2A2-466A-A7B6-2D6DDAD18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2" i="1"/>
</calcChain>
</file>

<file path=xl/sharedStrings.xml><?xml version="1.0" encoding="utf-8"?>
<sst xmlns="http://schemas.openxmlformats.org/spreadsheetml/2006/main" count="290" uniqueCount="140">
  <si>
    <t>Pine</t>
  </si>
  <si>
    <t>Tamilselvan</t>
  </si>
  <si>
    <t>Confirmed</t>
  </si>
  <si>
    <t>MMT</t>
  </si>
  <si>
    <t>Pine-45748-45749</t>
  </si>
  <si>
    <t>Cedar</t>
  </si>
  <si>
    <t>Adhithya</t>
  </si>
  <si>
    <t>Sangeetha</t>
  </si>
  <si>
    <t>Cedar-45749-45750</t>
  </si>
  <si>
    <t>Arun</t>
  </si>
  <si>
    <t>pranav</t>
  </si>
  <si>
    <t>Gpay to The Westwood</t>
  </si>
  <si>
    <t>Pine-45751-45753</t>
  </si>
  <si>
    <t>Teak</t>
  </si>
  <si>
    <t>Teak-45751-45753</t>
  </si>
  <si>
    <t>Maple</t>
  </si>
  <si>
    <t>Maple-45751-45753</t>
  </si>
  <si>
    <t>Feminine Mathiew</t>
  </si>
  <si>
    <t>Sekar manager</t>
  </si>
  <si>
    <t>Cedar-45752-45753</t>
  </si>
  <si>
    <t>G pay to Anika</t>
  </si>
  <si>
    <t>Byju kumar</t>
  </si>
  <si>
    <t>Maple-45753-45754</t>
  </si>
  <si>
    <t>Teak-45753-45754</t>
  </si>
  <si>
    <t>SenthilmMurugan</t>
  </si>
  <si>
    <t>Cedar-45753-45754</t>
  </si>
  <si>
    <t>Pine-45753-45754</t>
  </si>
  <si>
    <t>Krishna prasad</t>
  </si>
  <si>
    <t>Tripcampass</t>
  </si>
  <si>
    <t>Cedar-45755-45757</t>
  </si>
  <si>
    <t>Teak-45755-45757</t>
  </si>
  <si>
    <t>Maple-45755-45757</t>
  </si>
  <si>
    <t>St,Joseph Dale</t>
  </si>
  <si>
    <t>Pine-45757-45759</t>
  </si>
  <si>
    <t>Sriram</t>
  </si>
  <si>
    <t>Teak-45757-45758</t>
  </si>
  <si>
    <t>Maple-45757-45758</t>
  </si>
  <si>
    <t>MohanKumar</t>
  </si>
  <si>
    <t>Pranav</t>
  </si>
  <si>
    <t>Maple-45759-45761</t>
  </si>
  <si>
    <t>Gowshikan palanisamy</t>
  </si>
  <si>
    <t>Cedar-45759-45761</t>
  </si>
  <si>
    <t>Deva</t>
  </si>
  <si>
    <t>Pine-45760-45763</t>
  </si>
  <si>
    <t>Maari Raja</t>
  </si>
  <si>
    <t>Gopalpoomparai</t>
  </si>
  <si>
    <t>Cash</t>
  </si>
  <si>
    <t>Maple-45760-45761</t>
  </si>
  <si>
    <t>Sachin</t>
  </si>
  <si>
    <t>Cedar-45762-45764</t>
  </si>
  <si>
    <t>G pay to Sekar</t>
  </si>
  <si>
    <t>prasoab</t>
  </si>
  <si>
    <t>Teak-45762-45763</t>
  </si>
  <si>
    <t>Maple-45762-45763</t>
  </si>
  <si>
    <t>kiran</t>
  </si>
  <si>
    <t>Teak-45763-45765</t>
  </si>
  <si>
    <t>G pay</t>
  </si>
  <si>
    <t>Mithun</t>
  </si>
  <si>
    <t>sangeetha</t>
  </si>
  <si>
    <t>5460 paid to Anika</t>
  </si>
  <si>
    <t>Cedar-45765-45766</t>
  </si>
  <si>
    <t>Debhashis Dash</t>
  </si>
  <si>
    <t>Pine-45765-45768</t>
  </si>
  <si>
    <t>Rohan V</t>
  </si>
  <si>
    <t>Anika</t>
  </si>
  <si>
    <t>Teak-45765-45766</t>
  </si>
  <si>
    <t>Pooja Bhalla</t>
  </si>
  <si>
    <t>Maple-45765-45766</t>
  </si>
  <si>
    <t>Haruun</t>
  </si>
  <si>
    <t>Cedar-45766-45767</t>
  </si>
  <si>
    <t>kasi visvanadhan</t>
  </si>
  <si>
    <t>Anika13,250</t>
  </si>
  <si>
    <t>Teak-45766-45768</t>
  </si>
  <si>
    <t>Maple-45766-45768</t>
  </si>
  <si>
    <t>Surgicare</t>
  </si>
  <si>
    <t>Pine-45768-45769</t>
  </si>
  <si>
    <t>Nameer Neym</t>
  </si>
  <si>
    <t>Cedar-45768-45769</t>
  </si>
  <si>
    <t>Teak-45768-45769</t>
  </si>
  <si>
    <t>Maple-45768-45769</t>
  </si>
  <si>
    <t>Anup kumar</t>
  </si>
  <si>
    <t>Cedar-45769-45770</t>
  </si>
  <si>
    <t>Maple-45769-45770</t>
  </si>
  <si>
    <t>Pine-45769-45770</t>
  </si>
  <si>
    <t>cash paid to Sekar</t>
  </si>
  <si>
    <t>Dominic paul</t>
  </si>
  <si>
    <t>Pine-45771-45774</t>
  </si>
  <si>
    <t>cash</t>
  </si>
  <si>
    <t>prabhakaran</t>
  </si>
  <si>
    <t>Rb and fb toAnika</t>
  </si>
  <si>
    <t>Cedar-45771-45773</t>
  </si>
  <si>
    <t>Rahul Devnath</t>
  </si>
  <si>
    <t>fb to Anika</t>
  </si>
  <si>
    <t>Teak-45773-45774</t>
  </si>
  <si>
    <t>Madhan kumar</t>
  </si>
  <si>
    <t>viji eagle woods</t>
  </si>
  <si>
    <t>Total amount paid to Anika</t>
  </si>
  <si>
    <t>Cedar-45773-45774</t>
  </si>
  <si>
    <t>Teak-45774-45776</t>
  </si>
  <si>
    <t>Maple-45774-45776</t>
  </si>
  <si>
    <t>due to Gst we reduced 3000 rupees</t>
  </si>
  <si>
    <t>Mohamad kaif</t>
  </si>
  <si>
    <t>walkin guest</t>
  </si>
  <si>
    <t>cash to sekar</t>
  </si>
  <si>
    <t>Pine-45775-45776</t>
  </si>
  <si>
    <t>Aravindh</t>
  </si>
  <si>
    <t>Maple-45776-45778</t>
  </si>
  <si>
    <t>5 May cancelled, 9500 rupees refund</t>
  </si>
  <si>
    <t>ManasA</t>
  </si>
  <si>
    <t>Teak-45776-45777</t>
  </si>
  <si>
    <t>Pine-45777-45778</t>
  </si>
  <si>
    <t>Contact</t>
  </si>
  <si>
    <t>People Count</t>
  </si>
  <si>
    <t>Check-In</t>
  </si>
  <si>
    <t>Check-Out</t>
  </si>
  <si>
    <t>Room Nights</t>
  </si>
  <si>
    <t>Status</t>
  </si>
  <si>
    <t>Booking Date</t>
  </si>
  <si>
    <t>Source</t>
  </si>
  <si>
    <t>Room + Comm</t>
  </si>
  <si>
    <t>Advance</t>
  </si>
  <si>
    <t>Adv Paid To</t>
  </si>
  <si>
    <t>Room Balance</t>
  </si>
  <si>
    <t>Food</t>
  </si>
  <si>
    <t>Camp Fire</t>
  </si>
  <si>
    <t>Heater</t>
  </si>
  <si>
    <t>Safari</t>
  </si>
  <si>
    <t>Other 
Biils</t>
  </si>
  <si>
    <t>Total Balance</t>
  </si>
  <si>
    <t>Final Amount</t>
  </si>
  <si>
    <t>Comm</t>
  </si>
  <si>
    <t>TWW Revenue</t>
  </si>
  <si>
    <t>Tot Bal Paid To</t>
  </si>
  <si>
    <t>BOOKING_ID</t>
  </si>
  <si>
    <t>Remarks</t>
  </si>
  <si>
    <t>Paid Via</t>
  </si>
  <si>
    <t>HeadCount Stayed</t>
  </si>
  <si>
    <t>room_id</t>
  </si>
  <si>
    <t>room_name</t>
  </si>
  <si>
    <t>customer_name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</si>
</sst>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1734B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vertical="center" wrapText="1"/>
    </xf>
    <xf numFmtId="15" fontId="1" fillId="2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388C-9A9E-4887-9922-52B979FE2A13}">
  <dimension ref="A1:AC49"/>
  <sheetViews>
    <sheetView tabSelected="1" workbookViewId="0">
      <selection activeCell="N2" sqref="N2:N49"/>
    </sheetView>
  </sheetViews>
  <sheetFormatPr defaultRowHeight="14.4" x14ac:dyDescent="0.3"/>
  <cols>
    <col min="7" max="7" width="9.77734375" bestFit="1" customWidth="1"/>
  </cols>
  <sheetData>
    <row r="1" spans="1:29" ht="40.200000000000003" thickBot="1" x14ac:dyDescent="0.35">
      <c r="A1" s="11" t="s">
        <v>138</v>
      </c>
      <c r="B1" s="11" t="s">
        <v>137</v>
      </c>
      <c r="C1" s="11" t="s">
        <v>139</v>
      </c>
      <c r="D1" s="12" t="s">
        <v>111</v>
      </c>
      <c r="E1" s="12" t="s">
        <v>112</v>
      </c>
      <c r="F1" s="11" t="s">
        <v>113</v>
      </c>
      <c r="G1" s="11" t="s">
        <v>114</v>
      </c>
      <c r="H1" s="12" t="s">
        <v>115</v>
      </c>
      <c r="I1" s="11" t="s">
        <v>116</v>
      </c>
      <c r="J1" s="11" t="s">
        <v>117</v>
      </c>
      <c r="K1" s="12" t="s">
        <v>118</v>
      </c>
      <c r="L1" s="12" t="s">
        <v>119</v>
      </c>
      <c r="M1" s="12" t="s">
        <v>120</v>
      </c>
      <c r="N1" s="12" t="s">
        <v>121</v>
      </c>
      <c r="O1" s="12" t="s">
        <v>122</v>
      </c>
      <c r="P1" s="12" t="s">
        <v>123</v>
      </c>
      <c r="Q1" s="12" t="s">
        <v>124</v>
      </c>
      <c r="R1" s="12" t="s">
        <v>125</v>
      </c>
      <c r="S1" s="12" t="s">
        <v>126</v>
      </c>
      <c r="T1" s="12" t="s">
        <v>127</v>
      </c>
      <c r="U1" s="12" t="s">
        <v>128</v>
      </c>
      <c r="V1" s="12" t="s">
        <v>129</v>
      </c>
      <c r="W1" s="12" t="s">
        <v>130</v>
      </c>
      <c r="X1" s="12" t="s">
        <v>131</v>
      </c>
      <c r="Y1" s="12" t="s">
        <v>132</v>
      </c>
      <c r="Z1" s="12" t="s">
        <v>133</v>
      </c>
      <c r="AA1" s="12" t="s">
        <v>134</v>
      </c>
      <c r="AB1" s="12" t="s">
        <v>135</v>
      </c>
      <c r="AC1" s="12" t="s">
        <v>136</v>
      </c>
    </row>
    <row r="2" spans="1:29" ht="40.200000000000003" thickBot="1" x14ac:dyDescent="0.35">
      <c r="A2" s="1" t="s">
        <v>0</v>
      </c>
      <c r="B2" s="1">
        <f>IF(A2="Cedar", 1, IF(A2 = "Pine", 2, IF(A2 = "Teak", 3, IF(A2 = "Maple", 4, 5))))</f>
        <v>2</v>
      </c>
      <c r="C2" s="1" t="s">
        <v>1</v>
      </c>
      <c r="D2" s="2"/>
      <c r="E2" s="3">
        <v>2</v>
      </c>
      <c r="F2" s="4">
        <v>45748</v>
      </c>
      <c r="G2" s="4">
        <v>45749</v>
      </c>
      <c r="H2" s="3">
        <v>1</v>
      </c>
      <c r="I2" s="5" t="s">
        <v>2</v>
      </c>
      <c r="J2" s="1"/>
      <c r="K2" s="6" t="s">
        <v>3</v>
      </c>
      <c r="L2" s="7">
        <v>5548</v>
      </c>
      <c r="M2" s="6"/>
      <c r="N2" s="6"/>
      <c r="O2" s="6"/>
      <c r="P2" s="3">
        <v>660</v>
      </c>
      <c r="Q2" s="6"/>
      <c r="R2" s="6"/>
      <c r="S2" s="6"/>
      <c r="T2" s="6"/>
      <c r="U2" s="7">
        <v>6208</v>
      </c>
      <c r="V2" s="7">
        <v>6208</v>
      </c>
      <c r="W2" s="6"/>
      <c r="X2" s="7">
        <v>6208</v>
      </c>
      <c r="Y2" s="6"/>
      <c r="Z2" s="6" t="s">
        <v>4</v>
      </c>
      <c r="AA2" s="6"/>
      <c r="AB2" s="6"/>
      <c r="AC2" s="3">
        <v>2</v>
      </c>
    </row>
    <row r="3" spans="1:29" ht="40.200000000000003" thickBot="1" x14ac:dyDescent="0.35">
      <c r="A3" s="1" t="s">
        <v>5</v>
      </c>
      <c r="B3" s="1">
        <f t="shared" ref="B3:B49" si="0">IF(A3="Cedar", 1, IF(A3 = "Pine", 2, IF(A3 = "Teak", 3, IF(A3 = "Maple", 4, 5))))</f>
        <v>1</v>
      </c>
      <c r="C3" s="1" t="s">
        <v>6</v>
      </c>
      <c r="D3" s="8">
        <v>9535444485</v>
      </c>
      <c r="E3" s="3">
        <v>3</v>
      </c>
      <c r="F3" s="4">
        <v>45749</v>
      </c>
      <c r="G3" s="4">
        <v>45750</v>
      </c>
      <c r="H3" s="3">
        <v>1</v>
      </c>
      <c r="I3" s="5" t="s">
        <v>2</v>
      </c>
      <c r="J3" s="1"/>
      <c r="K3" s="6" t="s">
        <v>7</v>
      </c>
      <c r="L3" s="7">
        <v>7000</v>
      </c>
      <c r="M3" s="6"/>
      <c r="N3" s="6"/>
      <c r="O3" s="6"/>
      <c r="P3" s="7">
        <v>1080</v>
      </c>
      <c r="Q3" s="6"/>
      <c r="R3" s="6"/>
      <c r="S3" s="6"/>
      <c r="T3" s="6"/>
      <c r="U3" s="7">
        <v>7520</v>
      </c>
      <c r="V3" s="7">
        <v>8080</v>
      </c>
      <c r="W3" s="3">
        <v>560</v>
      </c>
      <c r="X3" s="7">
        <v>7520</v>
      </c>
      <c r="Y3" s="6"/>
      <c r="Z3" s="6" t="s">
        <v>8</v>
      </c>
      <c r="AA3" s="6"/>
      <c r="AB3" s="6"/>
      <c r="AC3" s="3">
        <v>3</v>
      </c>
    </row>
    <row r="4" spans="1:29" ht="53.4" thickBot="1" x14ac:dyDescent="0.35">
      <c r="A4" s="1" t="s">
        <v>0</v>
      </c>
      <c r="B4" s="1">
        <f t="shared" si="0"/>
        <v>2</v>
      </c>
      <c r="C4" s="1" t="s">
        <v>9</v>
      </c>
      <c r="D4" s="8">
        <v>9994716285</v>
      </c>
      <c r="E4" s="3">
        <v>5</v>
      </c>
      <c r="F4" s="4">
        <v>45751</v>
      </c>
      <c r="G4" s="4">
        <v>45753</v>
      </c>
      <c r="H4" s="3">
        <v>2</v>
      </c>
      <c r="I4" s="5" t="s">
        <v>2</v>
      </c>
      <c r="J4" s="1"/>
      <c r="K4" s="6" t="s">
        <v>10</v>
      </c>
      <c r="L4" s="7">
        <v>25600</v>
      </c>
      <c r="M4" s="7">
        <v>10000</v>
      </c>
      <c r="N4" s="6"/>
      <c r="O4" s="6"/>
      <c r="P4" s="7">
        <v>6770</v>
      </c>
      <c r="Q4" s="6"/>
      <c r="R4" s="6"/>
      <c r="S4" s="6"/>
      <c r="T4" s="6"/>
      <c r="U4" s="7">
        <v>22370</v>
      </c>
      <c r="V4" s="7">
        <v>32370</v>
      </c>
      <c r="W4" s="6"/>
      <c r="X4" s="7">
        <v>32370</v>
      </c>
      <c r="Y4" s="6" t="s">
        <v>11</v>
      </c>
      <c r="Z4" s="6" t="s">
        <v>12</v>
      </c>
      <c r="AA4" s="6"/>
      <c r="AB4" s="6"/>
      <c r="AC4" s="3">
        <v>10</v>
      </c>
    </row>
    <row r="5" spans="1:29" ht="40.200000000000003" thickBot="1" x14ac:dyDescent="0.35">
      <c r="A5" s="1" t="s">
        <v>13</v>
      </c>
      <c r="B5" s="1">
        <f t="shared" si="0"/>
        <v>3</v>
      </c>
      <c r="C5" s="1" t="s">
        <v>9</v>
      </c>
      <c r="D5" s="2"/>
      <c r="E5" s="3">
        <v>2</v>
      </c>
      <c r="F5" s="4">
        <v>45751</v>
      </c>
      <c r="G5" s="4">
        <v>45753</v>
      </c>
      <c r="H5" s="3">
        <v>2</v>
      </c>
      <c r="I5" s="5" t="s">
        <v>2</v>
      </c>
      <c r="J5" s="1"/>
      <c r="K5" s="6" t="s">
        <v>10</v>
      </c>
      <c r="L5" s="6"/>
      <c r="M5" s="6"/>
      <c r="N5" s="6"/>
      <c r="O5" s="6"/>
      <c r="P5" s="6"/>
      <c r="Q5" s="6"/>
      <c r="R5" s="6"/>
      <c r="S5" s="6"/>
      <c r="T5" s="6"/>
      <c r="U5" s="3">
        <v>0</v>
      </c>
      <c r="V5" s="3">
        <v>0</v>
      </c>
      <c r="W5" s="6"/>
      <c r="X5" s="3">
        <v>0</v>
      </c>
      <c r="Y5" s="6"/>
      <c r="Z5" s="6" t="s">
        <v>14</v>
      </c>
      <c r="AA5" s="6"/>
      <c r="AB5" s="6"/>
      <c r="AC5" s="3">
        <v>4</v>
      </c>
    </row>
    <row r="6" spans="1:29" ht="40.200000000000003" thickBot="1" x14ac:dyDescent="0.35">
      <c r="A6" s="1" t="s">
        <v>15</v>
      </c>
      <c r="B6" s="1">
        <f t="shared" si="0"/>
        <v>4</v>
      </c>
      <c r="C6" s="1" t="s">
        <v>9</v>
      </c>
      <c r="D6" s="2"/>
      <c r="E6" s="3">
        <v>2</v>
      </c>
      <c r="F6" s="4">
        <v>45751</v>
      </c>
      <c r="G6" s="4">
        <v>45753</v>
      </c>
      <c r="H6" s="3">
        <v>2</v>
      </c>
      <c r="I6" s="5" t="s">
        <v>2</v>
      </c>
      <c r="J6" s="1"/>
      <c r="K6" s="6" t="s">
        <v>10</v>
      </c>
      <c r="L6" s="6"/>
      <c r="M6" s="6"/>
      <c r="N6" s="6"/>
      <c r="O6" s="6"/>
      <c r="P6" s="6"/>
      <c r="Q6" s="6"/>
      <c r="R6" s="6"/>
      <c r="S6" s="6"/>
      <c r="T6" s="6"/>
      <c r="U6" s="3">
        <v>0</v>
      </c>
      <c r="V6" s="3">
        <v>0</v>
      </c>
      <c r="W6" s="6"/>
      <c r="X6" s="3">
        <v>0</v>
      </c>
      <c r="Y6" s="6"/>
      <c r="Z6" s="6" t="s">
        <v>16</v>
      </c>
      <c r="AA6" s="6"/>
      <c r="AB6" s="6"/>
      <c r="AC6" s="3">
        <v>4</v>
      </c>
    </row>
    <row r="7" spans="1:29" ht="40.200000000000003" thickBot="1" x14ac:dyDescent="0.35">
      <c r="A7" s="1" t="s">
        <v>5</v>
      </c>
      <c r="B7" s="1">
        <f t="shared" si="0"/>
        <v>1</v>
      </c>
      <c r="C7" s="1" t="s">
        <v>17</v>
      </c>
      <c r="D7" s="8">
        <v>7510971216</v>
      </c>
      <c r="E7" s="3">
        <v>4</v>
      </c>
      <c r="F7" s="4">
        <v>45752</v>
      </c>
      <c r="G7" s="4">
        <v>45753</v>
      </c>
      <c r="H7" s="3">
        <v>1</v>
      </c>
      <c r="I7" s="5" t="s">
        <v>2</v>
      </c>
      <c r="J7" s="1"/>
      <c r="K7" s="6" t="s">
        <v>7</v>
      </c>
      <c r="L7" s="7">
        <v>8000</v>
      </c>
      <c r="M7" s="7">
        <v>2000</v>
      </c>
      <c r="N7" s="6"/>
      <c r="O7" s="6"/>
      <c r="P7" s="6"/>
      <c r="Q7" s="6"/>
      <c r="R7" s="6"/>
      <c r="S7" s="6"/>
      <c r="T7" s="6"/>
      <c r="U7" s="7">
        <v>5360</v>
      </c>
      <c r="V7" s="7">
        <v>8000</v>
      </c>
      <c r="W7" s="3">
        <v>640</v>
      </c>
      <c r="X7" s="7">
        <v>7360</v>
      </c>
      <c r="Y7" s="6" t="s">
        <v>18</v>
      </c>
      <c r="Z7" s="6" t="s">
        <v>19</v>
      </c>
      <c r="AA7" s="6"/>
      <c r="AB7" s="6" t="s">
        <v>20</v>
      </c>
      <c r="AC7" s="3">
        <v>4</v>
      </c>
    </row>
    <row r="8" spans="1:29" ht="40.200000000000003" thickBot="1" x14ac:dyDescent="0.35">
      <c r="A8" s="1" t="s">
        <v>15</v>
      </c>
      <c r="B8" s="1">
        <f t="shared" si="0"/>
        <v>4</v>
      </c>
      <c r="C8" s="1" t="s">
        <v>21</v>
      </c>
      <c r="D8" s="2"/>
      <c r="E8" s="3">
        <v>3</v>
      </c>
      <c r="F8" s="4">
        <v>45753</v>
      </c>
      <c r="G8" s="4">
        <v>45754</v>
      </c>
      <c r="H8" s="3">
        <v>1</v>
      </c>
      <c r="I8" s="5" t="s">
        <v>2</v>
      </c>
      <c r="J8" s="1"/>
      <c r="K8" s="6" t="s">
        <v>7</v>
      </c>
      <c r="L8" s="6"/>
      <c r="M8" s="6"/>
      <c r="N8" s="6"/>
      <c r="O8" s="6"/>
      <c r="P8" s="6"/>
      <c r="Q8" s="6"/>
      <c r="R8" s="6"/>
      <c r="S8" s="6"/>
      <c r="T8" s="6"/>
      <c r="U8" s="3">
        <v>0</v>
      </c>
      <c r="V8" s="3">
        <v>0</v>
      </c>
      <c r="W8" s="3">
        <v>0</v>
      </c>
      <c r="X8" s="3">
        <v>0</v>
      </c>
      <c r="Y8" s="6"/>
      <c r="Z8" s="6" t="s">
        <v>22</v>
      </c>
      <c r="AA8" s="6"/>
      <c r="AB8" s="6"/>
      <c r="AC8" s="3">
        <v>3</v>
      </c>
    </row>
    <row r="9" spans="1:29" ht="40.200000000000003" thickBot="1" x14ac:dyDescent="0.35">
      <c r="A9" s="1" t="s">
        <v>13</v>
      </c>
      <c r="B9" s="1">
        <f t="shared" si="0"/>
        <v>3</v>
      </c>
      <c r="C9" s="1" t="s">
        <v>21</v>
      </c>
      <c r="D9" s="2"/>
      <c r="E9" s="3">
        <v>3</v>
      </c>
      <c r="F9" s="4">
        <v>45753</v>
      </c>
      <c r="G9" s="4">
        <v>45754</v>
      </c>
      <c r="H9" s="3">
        <v>1</v>
      </c>
      <c r="I9" s="5" t="s">
        <v>2</v>
      </c>
      <c r="J9" s="1"/>
      <c r="K9" s="6" t="s">
        <v>7</v>
      </c>
      <c r="L9" s="7">
        <v>10500</v>
      </c>
      <c r="M9" s="7">
        <v>5250</v>
      </c>
      <c r="N9" s="6"/>
      <c r="O9" s="6"/>
      <c r="P9" s="7">
        <v>2150</v>
      </c>
      <c r="Q9" s="6"/>
      <c r="R9" s="6"/>
      <c r="S9" s="6"/>
      <c r="T9" s="6"/>
      <c r="U9" s="7">
        <v>6560</v>
      </c>
      <c r="V9" s="7">
        <v>12650</v>
      </c>
      <c r="W9" s="3">
        <v>840</v>
      </c>
      <c r="X9" s="7">
        <v>11810</v>
      </c>
      <c r="Y9" s="6"/>
      <c r="Z9" s="6" t="s">
        <v>23</v>
      </c>
      <c r="AA9" s="6"/>
      <c r="AB9" s="6"/>
      <c r="AC9" s="3">
        <v>3</v>
      </c>
    </row>
    <row r="10" spans="1:29" ht="40.200000000000003" thickBot="1" x14ac:dyDescent="0.35">
      <c r="A10" s="1" t="s">
        <v>5</v>
      </c>
      <c r="B10" s="1">
        <f t="shared" si="0"/>
        <v>1</v>
      </c>
      <c r="C10" s="9" t="s">
        <v>24</v>
      </c>
      <c r="D10" s="2"/>
      <c r="E10" s="3">
        <v>4</v>
      </c>
      <c r="F10" s="4">
        <v>45753</v>
      </c>
      <c r="G10" s="4">
        <v>45754</v>
      </c>
      <c r="H10" s="3">
        <v>1</v>
      </c>
      <c r="I10" s="5" t="s">
        <v>2</v>
      </c>
      <c r="J10" s="1"/>
      <c r="K10" s="6" t="s">
        <v>3</v>
      </c>
      <c r="L10" s="7">
        <v>11721</v>
      </c>
      <c r="M10" s="6"/>
      <c r="N10" s="6"/>
      <c r="O10" s="6"/>
      <c r="P10" s="7">
        <v>2600</v>
      </c>
      <c r="Q10" s="7">
        <v>1000</v>
      </c>
      <c r="R10" s="6"/>
      <c r="S10" s="6"/>
      <c r="T10" s="6"/>
      <c r="U10" s="7">
        <v>15321</v>
      </c>
      <c r="V10" s="7">
        <v>15321</v>
      </c>
      <c r="W10" s="6"/>
      <c r="X10" s="7">
        <v>15321</v>
      </c>
      <c r="Y10" s="6"/>
      <c r="Z10" s="6" t="s">
        <v>25</v>
      </c>
      <c r="AA10" s="6"/>
      <c r="AB10" s="6"/>
      <c r="AC10" s="3">
        <v>4</v>
      </c>
    </row>
    <row r="11" spans="1:29" ht="40.200000000000003" thickBot="1" x14ac:dyDescent="0.35">
      <c r="A11" s="1" t="s">
        <v>0</v>
      </c>
      <c r="B11" s="1">
        <f t="shared" si="0"/>
        <v>2</v>
      </c>
      <c r="C11" s="9" t="s">
        <v>24</v>
      </c>
      <c r="D11" s="2"/>
      <c r="E11" s="3">
        <v>4</v>
      </c>
      <c r="F11" s="4">
        <v>45753</v>
      </c>
      <c r="G11" s="4">
        <v>45754</v>
      </c>
      <c r="H11" s="3">
        <v>1</v>
      </c>
      <c r="I11" s="5" t="s">
        <v>2</v>
      </c>
      <c r="J11" s="1"/>
      <c r="K11" s="6" t="s">
        <v>3</v>
      </c>
      <c r="L11" s="6"/>
      <c r="M11" s="6"/>
      <c r="N11" s="6"/>
      <c r="O11" s="6"/>
      <c r="P11" s="6"/>
      <c r="Q11" s="6"/>
      <c r="R11" s="6"/>
      <c r="S11" s="6"/>
      <c r="T11" s="6"/>
      <c r="U11" s="3">
        <v>0</v>
      </c>
      <c r="V11" s="3">
        <v>0</v>
      </c>
      <c r="W11" s="6"/>
      <c r="X11" s="3">
        <v>0</v>
      </c>
      <c r="Y11" s="6"/>
      <c r="Z11" s="6" t="s">
        <v>26</v>
      </c>
      <c r="AA11" s="6"/>
      <c r="AB11" s="6"/>
      <c r="AC11" s="3">
        <v>4</v>
      </c>
    </row>
    <row r="12" spans="1:29" ht="40.200000000000003" thickBot="1" x14ac:dyDescent="0.35">
      <c r="A12" s="1" t="s">
        <v>5</v>
      </c>
      <c r="B12" s="1">
        <f t="shared" si="0"/>
        <v>1</v>
      </c>
      <c r="C12" s="1" t="s">
        <v>27</v>
      </c>
      <c r="D12" s="8">
        <v>8248077688</v>
      </c>
      <c r="E12" s="3">
        <v>7</v>
      </c>
      <c r="F12" s="4">
        <v>45755</v>
      </c>
      <c r="G12" s="4">
        <v>45757</v>
      </c>
      <c r="H12" s="3">
        <v>2</v>
      </c>
      <c r="I12" s="5" t="s">
        <v>2</v>
      </c>
      <c r="J12" s="1"/>
      <c r="K12" s="6" t="s">
        <v>28</v>
      </c>
      <c r="L12" s="7">
        <v>28000</v>
      </c>
      <c r="M12" s="7">
        <v>5000</v>
      </c>
      <c r="N12" s="6"/>
      <c r="O12" s="6"/>
      <c r="P12" s="7">
        <v>16790</v>
      </c>
      <c r="Q12" s="6"/>
      <c r="R12" s="6"/>
      <c r="S12" s="6"/>
      <c r="T12" s="6"/>
      <c r="U12" s="7">
        <v>39790</v>
      </c>
      <c r="V12" s="7">
        <v>44790</v>
      </c>
      <c r="W12" s="6"/>
      <c r="X12" s="7">
        <v>44790</v>
      </c>
      <c r="Y12" s="6"/>
      <c r="Z12" s="6" t="s">
        <v>29</v>
      </c>
      <c r="AA12" s="6"/>
      <c r="AB12" s="6"/>
      <c r="AC12" s="3">
        <v>14</v>
      </c>
    </row>
    <row r="13" spans="1:29" ht="40.200000000000003" thickBot="1" x14ac:dyDescent="0.35">
      <c r="A13" s="1" t="s">
        <v>13</v>
      </c>
      <c r="B13" s="1">
        <f t="shared" si="0"/>
        <v>3</v>
      </c>
      <c r="C13" s="1" t="s">
        <v>27</v>
      </c>
      <c r="D13" s="8">
        <v>8610163368</v>
      </c>
      <c r="E13" s="3">
        <v>2</v>
      </c>
      <c r="F13" s="4">
        <v>45755</v>
      </c>
      <c r="G13" s="4">
        <v>45757</v>
      </c>
      <c r="H13" s="3">
        <v>2</v>
      </c>
      <c r="I13" s="5" t="s">
        <v>2</v>
      </c>
      <c r="J13" s="1"/>
      <c r="K13" s="6" t="s">
        <v>28</v>
      </c>
      <c r="L13" s="7">
        <v>8000</v>
      </c>
      <c r="M13" s="7">
        <v>2000</v>
      </c>
      <c r="N13" s="6"/>
      <c r="O13" s="6"/>
      <c r="P13" s="6"/>
      <c r="Q13" s="6"/>
      <c r="R13" s="6"/>
      <c r="S13" s="6"/>
      <c r="T13" s="6"/>
      <c r="U13" s="7">
        <v>6000</v>
      </c>
      <c r="V13" s="7">
        <v>8000</v>
      </c>
      <c r="W13" s="6"/>
      <c r="X13" s="7">
        <v>8000</v>
      </c>
      <c r="Y13" s="6"/>
      <c r="Z13" s="6" t="s">
        <v>30</v>
      </c>
      <c r="AA13" s="6"/>
      <c r="AB13" s="6"/>
      <c r="AC13" s="3">
        <v>4</v>
      </c>
    </row>
    <row r="14" spans="1:29" ht="40.200000000000003" thickBot="1" x14ac:dyDescent="0.35">
      <c r="A14" s="1" t="s">
        <v>15</v>
      </c>
      <c r="B14" s="1">
        <f t="shared" si="0"/>
        <v>4</v>
      </c>
      <c r="C14" s="9" t="s">
        <v>27</v>
      </c>
      <c r="D14" s="2"/>
      <c r="E14" s="3">
        <v>2</v>
      </c>
      <c r="F14" s="4">
        <v>45755</v>
      </c>
      <c r="G14" s="4">
        <v>45757</v>
      </c>
      <c r="H14" s="3">
        <v>2</v>
      </c>
      <c r="I14" s="5" t="s">
        <v>2</v>
      </c>
      <c r="J14" s="1"/>
      <c r="K14" s="6" t="s">
        <v>28</v>
      </c>
      <c r="L14" s="7">
        <v>8000</v>
      </c>
      <c r="M14" s="7">
        <v>2000</v>
      </c>
      <c r="N14" s="6"/>
      <c r="O14" s="6"/>
      <c r="P14" s="6"/>
      <c r="Q14" s="6"/>
      <c r="R14" s="6"/>
      <c r="S14" s="6"/>
      <c r="T14" s="6"/>
      <c r="U14" s="7">
        <v>6000</v>
      </c>
      <c r="V14" s="7">
        <v>8000</v>
      </c>
      <c r="W14" s="6"/>
      <c r="X14" s="7">
        <v>8000</v>
      </c>
      <c r="Y14" s="6"/>
      <c r="Z14" s="6" t="s">
        <v>31</v>
      </c>
      <c r="AA14" s="6"/>
      <c r="AB14" s="6"/>
      <c r="AC14" s="3">
        <v>4</v>
      </c>
    </row>
    <row r="15" spans="1:29" ht="40.200000000000003" thickBot="1" x14ac:dyDescent="0.35">
      <c r="A15" s="1" t="s">
        <v>0</v>
      </c>
      <c r="B15" s="1">
        <f t="shared" si="0"/>
        <v>2</v>
      </c>
      <c r="C15" s="1" t="s">
        <v>32</v>
      </c>
      <c r="D15" s="8">
        <v>9745407677</v>
      </c>
      <c r="E15" s="3">
        <v>3</v>
      </c>
      <c r="F15" s="4">
        <v>45757</v>
      </c>
      <c r="G15" s="4">
        <v>45759</v>
      </c>
      <c r="H15" s="3">
        <v>2</v>
      </c>
      <c r="I15" s="5" t="s">
        <v>2</v>
      </c>
      <c r="J15" s="1"/>
      <c r="K15" s="6" t="s">
        <v>7</v>
      </c>
      <c r="L15" s="7">
        <v>13000</v>
      </c>
      <c r="M15" s="7">
        <v>6500</v>
      </c>
      <c r="N15" s="6"/>
      <c r="O15" s="6"/>
      <c r="P15" s="7">
        <v>1710</v>
      </c>
      <c r="Q15" s="6"/>
      <c r="R15" s="6"/>
      <c r="S15" s="6"/>
      <c r="T15" s="6"/>
      <c r="U15" s="7">
        <v>7170</v>
      </c>
      <c r="V15" s="7">
        <v>14710</v>
      </c>
      <c r="W15" s="7">
        <v>1040</v>
      </c>
      <c r="X15" s="7">
        <v>13670</v>
      </c>
      <c r="Y15" s="6"/>
      <c r="Z15" s="6" t="s">
        <v>33</v>
      </c>
      <c r="AA15" s="6"/>
      <c r="AB15" s="6"/>
      <c r="AC15" s="3">
        <v>6</v>
      </c>
    </row>
    <row r="16" spans="1:29" ht="40.200000000000003" thickBot="1" x14ac:dyDescent="0.35">
      <c r="A16" s="1" t="s">
        <v>13</v>
      </c>
      <c r="B16" s="1">
        <f t="shared" si="0"/>
        <v>3</v>
      </c>
      <c r="C16" s="1" t="s">
        <v>34</v>
      </c>
      <c r="D16" s="8">
        <v>7010420209</v>
      </c>
      <c r="E16" s="3">
        <v>2</v>
      </c>
      <c r="F16" s="4">
        <v>45757</v>
      </c>
      <c r="G16" s="4">
        <v>45758</v>
      </c>
      <c r="H16" s="3">
        <v>1</v>
      </c>
      <c r="I16" s="5" t="s">
        <v>2</v>
      </c>
      <c r="J16" s="1"/>
      <c r="K16" s="6" t="s">
        <v>7</v>
      </c>
      <c r="L16" s="7">
        <v>8000</v>
      </c>
      <c r="M16" s="7">
        <v>2000</v>
      </c>
      <c r="N16" s="6"/>
      <c r="O16" s="6"/>
      <c r="P16" s="7">
        <v>1450</v>
      </c>
      <c r="Q16" s="6"/>
      <c r="R16" s="6"/>
      <c r="S16" s="6"/>
      <c r="T16" s="6"/>
      <c r="U16" s="7">
        <v>6810</v>
      </c>
      <c r="V16" s="7">
        <v>9450</v>
      </c>
      <c r="W16" s="3">
        <v>640</v>
      </c>
      <c r="X16" s="7">
        <v>8810</v>
      </c>
      <c r="Y16" s="6"/>
      <c r="Z16" s="6" t="s">
        <v>35</v>
      </c>
      <c r="AA16" s="6"/>
      <c r="AB16" s="6"/>
      <c r="AC16" s="3">
        <v>2</v>
      </c>
    </row>
    <row r="17" spans="1:29" ht="40.200000000000003" thickBot="1" x14ac:dyDescent="0.35">
      <c r="A17" s="1" t="s">
        <v>15</v>
      </c>
      <c r="B17" s="1">
        <f t="shared" si="0"/>
        <v>4</v>
      </c>
      <c r="C17" s="1" t="s">
        <v>34</v>
      </c>
      <c r="D17" s="2"/>
      <c r="E17" s="3">
        <v>2</v>
      </c>
      <c r="F17" s="4">
        <v>45757</v>
      </c>
      <c r="G17" s="4">
        <v>45758</v>
      </c>
      <c r="H17" s="3">
        <v>1</v>
      </c>
      <c r="I17" s="5" t="s">
        <v>2</v>
      </c>
      <c r="J17" s="1"/>
      <c r="K17" s="6"/>
      <c r="L17" s="6"/>
      <c r="M17" s="6"/>
      <c r="N17" s="6"/>
      <c r="O17" s="6"/>
      <c r="P17" s="6"/>
      <c r="Q17" s="6"/>
      <c r="R17" s="6"/>
      <c r="S17" s="6"/>
      <c r="T17" s="6"/>
      <c r="U17" s="3">
        <v>0</v>
      </c>
      <c r="V17" s="3">
        <v>0</v>
      </c>
      <c r="W17" s="6"/>
      <c r="X17" s="3">
        <v>0</v>
      </c>
      <c r="Y17" s="6"/>
      <c r="Z17" s="6" t="s">
        <v>36</v>
      </c>
      <c r="AA17" s="6"/>
      <c r="AB17" s="6"/>
      <c r="AC17" s="3">
        <v>2</v>
      </c>
    </row>
    <row r="18" spans="1:29" ht="40.200000000000003" thickBot="1" x14ac:dyDescent="0.35">
      <c r="A18" s="1" t="s">
        <v>15</v>
      </c>
      <c r="B18" s="1">
        <f t="shared" si="0"/>
        <v>4</v>
      </c>
      <c r="C18" s="1" t="s">
        <v>37</v>
      </c>
      <c r="D18" s="2"/>
      <c r="E18" s="3">
        <v>3</v>
      </c>
      <c r="F18" s="4">
        <v>45759</v>
      </c>
      <c r="G18" s="4">
        <v>45761</v>
      </c>
      <c r="H18" s="3">
        <v>2</v>
      </c>
      <c r="I18" s="5" t="s">
        <v>2</v>
      </c>
      <c r="J18" s="1"/>
      <c r="K18" s="6" t="s">
        <v>38</v>
      </c>
      <c r="L18" s="3">
        <v>0</v>
      </c>
      <c r="M18" s="3">
        <v>0</v>
      </c>
      <c r="N18" s="6"/>
      <c r="O18" s="6"/>
      <c r="P18" s="6"/>
      <c r="Q18" s="6"/>
      <c r="R18" s="6"/>
      <c r="S18" s="6"/>
      <c r="T18" s="6"/>
      <c r="U18" s="3">
        <v>0</v>
      </c>
      <c r="V18" s="3">
        <v>0</v>
      </c>
      <c r="W18" s="6"/>
      <c r="X18" s="3">
        <v>0</v>
      </c>
      <c r="Y18" s="6"/>
      <c r="Z18" s="6" t="s">
        <v>39</v>
      </c>
      <c r="AA18" s="6"/>
      <c r="AB18" s="6"/>
      <c r="AC18" s="3">
        <v>6</v>
      </c>
    </row>
    <row r="19" spans="1:29" ht="53.4" thickBot="1" x14ac:dyDescent="0.35">
      <c r="A19" s="1" t="s">
        <v>5</v>
      </c>
      <c r="B19" s="1">
        <f t="shared" si="0"/>
        <v>1</v>
      </c>
      <c r="C19" s="1" t="s">
        <v>40</v>
      </c>
      <c r="D19" s="8">
        <v>8825452268</v>
      </c>
      <c r="E19" s="3">
        <v>6</v>
      </c>
      <c r="F19" s="4">
        <v>45759</v>
      </c>
      <c r="G19" s="4">
        <v>45761</v>
      </c>
      <c r="H19" s="3">
        <v>2</v>
      </c>
      <c r="I19" s="5" t="s">
        <v>2</v>
      </c>
      <c r="J19" s="1"/>
      <c r="K19" s="6" t="s">
        <v>7</v>
      </c>
      <c r="L19" s="7">
        <v>24000</v>
      </c>
      <c r="M19" s="7">
        <v>12000</v>
      </c>
      <c r="N19" s="6"/>
      <c r="O19" s="6"/>
      <c r="P19" s="7">
        <v>6800</v>
      </c>
      <c r="Q19" s="7">
        <v>1000</v>
      </c>
      <c r="R19" s="6"/>
      <c r="S19" s="6"/>
      <c r="T19" s="6"/>
      <c r="U19" s="7">
        <v>17880</v>
      </c>
      <c r="V19" s="7">
        <v>31800</v>
      </c>
      <c r="W19" s="7">
        <v>1920</v>
      </c>
      <c r="X19" s="7">
        <v>29880</v>
      </c>
      <c r="Y19" s="6"/>
      <c r="Z19" s="6" t="s">
        <v>41</v>
      </c>
      <c r="AA19" s="6"/>
      <c r="AB19" s="6"/>
      <c r="AC19" s="3">
        <v>12</v>
      </c>
    </row>
    <row r="20" spans="1:29" ht="40.200000000000003" thickBot="1" x14ac:dyDescent="0.35">
      <c r="A20" s="1" t="s">
        <v>0</v>
      </c>
      <c r="B20" s="1">
        <f t="shared" si="0"/>
        <v>2</v>
      </c>
      <c r="C20" s="1" t="s">
        <v>42</v>
      </c>
      <c r="D20" s="2"/>
      <c r="E20" s="3">
        <v>3</v>
      </c>
      <c r="F20" s="4">
        <v>45760</v>
      </c>
      <c r="G20" s="4">
        <v>45763</v>
      </c>
      <c r="H20" s="3">
        <v>3</v>
      </c>
      <c r="I20" s="5" t="s">
        <v>2</v>
      </c>
      <c r="J20" s="1"/>
      <c r="K20" s="6" t="s">
        <v>7</v>
      </c>
      <c r="L20" s="7">
        <v>20000</v>
      </c>
      <c r="M20" s="7">
        <v>5000</v>
      </c>
      <c r="N20" s="6"/>
      <c r="O20" s="6"/>
      <c r="P20" s="7">
        <v>2790</v>
      </c>
      <c r="Q20" s="6"/>
      <c r="R20" s="6"/>
      <c r="S20" s="6"/>
      <c r="T20" s="6"/>
      <c r="U20" s="7">
        <v>16190</v>
      </c>
      <c r="V20" s="7">
        <v>22790</v>
      </c>
      <c r="W20" s="7">
        <v>1600</v>
      </c>
      <c r="X20" s="7">
        <v>21190</v>
      </c>
      <c r="Y20" s="6"/>
      <c r="Z20" s="6" t="s">
        <v>43</v>
      </c>
      <c r="AA20" s="6"/>
      <c r="AB20" s="6"/>
      <c r="AC20" s="3">
        <v>9</v>
      </c>
    </row>
    <row r="21" spans="1:29" ht="40.200000000000003" thickBot="1" x14ac:dyDescent="0.35">
      <c r="A21" s="1" t="s">
        <v>15</v>
      </c>
      <c r="B21" s="1">
        <f t="shared" si="0"/>
        <v>4</v>
      </c>
      <c r="C21" s="1" t="s">
        <v>44</v>
      </c>
      <c r="D21" s="2"/>
      <c r="E21" s="3">
        <v>2</v>
      </c>
      <c r="F21" s="4">
        <v>45760</v>
      </c>
      <c r="G21" s="4">
        <v>45761</v>
      </c>
      <c r="H21" s="3">
        <v>1</v>
      </c>
      <c r="I21" s="5" t="s">
        <v>2</v>
      </c>
      <c r="J21" s="1"/>
      <c r="K21" s="6" t="s">
        <v>45</v>
      </c>
      <c r="L21" s="7">
        <v>4500</v>
      </c>
      <c r="M21" s="6"/>
      <c r="N21" s="6"/>
      <c r="O21" s="6"/>
      <c r="P21" s="3">
        <v>600</v>
      </c>
      <c r="Q21" s="6"/>
      <c r="R21" s="6"/>
      <c r="S21" s="6"/>
      <c r="T21" s="6"/>
      <c r="U21" s="7">
        <v>5100</v>
      </c>
      <c r="V21" s="7">
        <v>5100</v>
      </c>
      <c r="W21" s="6"/>
      <c r="X21" s="7">
        <v>5100</v>
      </c>
      <c r="Y21" s="6" t="s">
        <v>46</v>
      </c>
      <c r="Z21" s="6" t="s">
        <v>47</v>
      </c>
      <c r="AA21" s="6"/>
      <c r="AB21" s="6"/>
      <c r="AC21" s="3">
        <v>2</v>
      </c>
    </row>
    <row r="22" spans="1:29" ht="40.200000000000003" thickBot="1" x14ac:dyDescent="0.35">
      <c r="A22" s="1" t="s">
        <v>5</v>
      </c>
      <c r="B22" s="1">
        <f t="shared" si="0"/>
        <v>1</v>
      </c>
      <c r="C22" s="1" t="s">
        <v>48</v>
      </c>
      <c r="D22" s="8">
        <v>9159759637</v>
      </c>
      <c r="E22" s="3">
        <v>4</v>
      </c>
      <c r="F22" s="4">
        <v>45762</v>
      </c>
      <c r="G22" s="4">
        <v>45764</v>
      </c>
      <c r="H22" s="3">
        <v>2</v>
      </c>
      <c r="I22" s="5" t="s">
        <v>2</v>
      </c>
      <c r="J22" s="1"/>
      <c r="K22" s="6" t="s">
        <v>7</v>
      </c>
      <c r="L22" s="7">
        <v>15000</v>
      </c>
      <c r="M22" s="7">
        <v>7500</v>
      </c>
      <c r="N22" s="6"/>
      <c r="O22" s="6"/>
      <c r="P22" s="7">
        <v>1500</v>
      </c>
      <c r="Q22" s="6"/>
      <c r="R22" s="6"/>
      <c r="S22" s="6"/>
      <c r="T22" s="6"/>
      <c r="U22" s="7">
        <v>7800</v>
      </c>
      <c r="V22" s="7">
        <v>16500</v>
      </c>
      <c r="W22" s="7">
        <v>1200</v>
      </c>
      <c r="X22" s="7">
        <v>15300</v>
      </c>
      <c r="Y22" s="6"/>
      <c r="Z22" s="6" t="s">
        <v>49</v>
      </c>
      <c r="AA22" s="10" t="s">
        <v>50</v>
      </c>
      <c r="AB22" s="6"/>
      <c r="AC22" s="3">
        <v>8</v>
      </c>
    </row>
    <row r="23" spans="1:29" ht="40.200000000000003" thickBot="1" x14ac:dyDescent="0.35">
      <c r="A23" s="1" t="s">
        <v>13</v>
      </c>
      <c r="B23" s="1">
        <f t="shared" si="0"/>
        <v>3</v>
      </c>
      <c r="C23" s="1" t="s">
        <v>51</v>
      </c>
      <c r="D23" s="2"/>
      <c r="E23" s="3">
        <v>2</v>
      </c>
      <c r="F23" s="4">
        <v>45762</v>
      </c>
      <c r="G23" s="4">
        <v>45763</v>
      </c>
      <c r="H23" s="3">
        <v>1</v>
      </c>
      <c r="I23" s="5" t="s">
        <v>2</v>
      </c>
      <c r="J23" s="1"/>
      <c r="K23" s="6" t="s">
        <v>3</v>
      </c>
      <c r="L23" s="6"/>
      <c r="M23" s="6"/>
      <c r="N23" s="6"/>
      <c r="O23" s="6"/>
      <c r="P23" s="7">
        <v>1540</v>
      </c>
      <c r="Q23" s="6"/>
      <c r="R23" s="6"/>
      <c r="S23" s="6"/>
      <c r="T23" s="6"/>
      <c r="U23" s="7">
        <v>1540</v>
      </c>
      <c r="V23" s="7">
        <v>1540</v>
      </c>
      <c r="W23" s="6"/>
      <c r="X23" s="7">
        <v>1540</v>
      </c>
      <c r="Y23" s="6"/>
      <c r="Z23" s="6" t="s">
        <v>52</v>
      </c>
      <c r="AA23" s="6"/>
      <c r="AB23" s="6"/>
      <c r="AC23" s="3">
        <v>2</v>
      </c>
    </row>
    <row r="24" spans="1:29" ht="40.200000000000003" thickBot="1" x14ac:dyDescent="0.35">
      <c r="A24" s="1" t="s">
        <v>15</v>
      </c>
      <c r="B24" s="1">
        <f t="shared" si="0"/>
        <v>4</v>
      </c>
      <c r="C24" s="1" t="s">
        <v>51</v>
      </c>
      <c r="D24" s="2"/>
      <c r="E24" s="3">
        <v>2</v>
      </c>
      <c r="F24" s="4">
        <v>45762</v>
      </c>
      <c r="G24" s="4">
        <v>45763</v>
      </c>
      <c r="H24" s="3">
        <v>1</v>
      </c>
      <c r="I24" s="5" t="s">
        <v>2</v>
      </c>
      <c r="J24" s="1"/>
      <c r="K24" s="6" t="s">
        <v>3</v>
      </c>
      <c r="L24" s="6"/>
      <c r="M24" s="6"/>
      <c r="N24" s="6"/>
      <c r="O24" s="6"/>
      <c r="P24" s="6"/>
      <c r="Q24" s="6"/>
      <c r="R24" s="6"/>
      <c r="S24" s="6"/>
      <c r="T24" s="6"/>
      <c r="U24" s="3">
        <v>0</v>
      </c>
      <c r="V24" s="3">
        <v>0</v>
      </c>
      <c r="W24" s="6"/>
      <c r="X24" s="3">
        <v>0</v>
      </c>
      <c r="Y24" s="6"/>
      <c r="Z24" s="6" t="s">
        <v>53</v>
      </c>
      <c r="AA24" s="6"/>
      <c r="AB24" s="6"/>
      <c r="AC24" s="3">
        <v>2</v>
      </c>
    </row>
    <row r="25" spans="1:29" ht="40.200000000000003" thickBot="1" x14ac:dyDescent="0.35">
      <c r="A25" s="1" t="s">
        <v>13</v>
      </c>
      <c r="B25" s="1">
        <f t="shared" si="0"/>
        <v>3</v>
      </c>
      <c r="C25" s="1" t="s">
        <v>54</v>
      </c>
      <c r="D25" s="2"/>
      <c r="E25" s="6"/>
      <c r="F25" s="4">
        <v>45763</v>
      </c>
      <c r="G25" s="4">
        <v>45765</v>
      </c>
      <c r="H25" s="3">
        <v>2</v>
      </c>
      <c r="I25" s="5" t="s">
        <v>2</v>
      </c>
      <c r="J25" s="1"/>
      <c r="K25" s="6" t="s">
        <v>3</v>
      </c>
      <c r="L25" s="6"/>
      <c r="M25" s="6"/>
      <c r="N25" s="6"/>
      <c r="O25" s="6"/>
      <c r="P25" s="6"/>
      <c r="Q25" s="6"/>
      <c r="R25" s="6"/>
      <c r="S25" s="6"/>
      <c r="T25" s="6"/>
      <c r="U25" s="3">
        <v>0</v>
      </c>
      <c r="V25" s="3">
        <v>0</v>
      </c>
      <c r="W25" s="6"/>
      <c r="X25" s="3">
        <v>0</v>
      </c>
      <c r="Y25" s="6"/>
      <c r="Z25" s="6" t="s">
        <v>55</v>
      </c>
      <c r="AA25" s="6"/>
      <c r="AB25" s="6" t="s">
        <v>56</v>
      </c>
      <c r="AC25" s="3">
        <v>0</v>
      </c>
    </row>
    <row r="26" spans="1:29" ht="40.200000000000003" thickBot="1" x14ac:dyDescent="0.35">
      <c r="A26" s="1" t="s">
        <v>5</v>
      </c>
      <c r="B26" s="1">
        <f t="shared" si="0"/>
        <v>1</v>
      </c>
      <c r="C26" s="1" t="s">
        <v>57</v>
      </c>
      <c r="D26" s="2"/>
      <c r="E26" s="3">
        <v>4</v>
      </c>
      <c r="F26" s="4">
        <v>45765</v>
      </c>
      <c r="G26" s="4">
        <v>45766</v>
      </c>
      <c r="H26" s="3">
        <v>1</v>
      </c>
      <c r="I26" s="5" t="s">
        <v>2</v>
      </c>
      <c r="J26" s="1"/>
      <c r="K26" s="6" t="s">
        <v>7</v>
      </c>
      <c r="L26" s="7">
        <v>8000</v>
      </c>
      <c r="M26" s="7">
        <v>4000</v>
      </c>
      <c r="N26" s="6" t="s">
        <v>58</v>
      </c>
      <c r="O26" s="6"/>
      <c r="P26" s="7">
        <v>1460</v>
      </c>
      <c r="Q26" s="6"/>
      <c r="R26" s="6"/>
      <c r="S26" s="6"/>
      <c r="T26" s="6"/>
      <c r="U26" s="7">
        <v>4820</v>
      </c>
      <c r="V26" s="7">
        <v>9460</v>
      </c>
      <c r="W26" s="3">
        <v>640</v>
      </c>
      <c r="X26" s="7">
        <v>8820</v>
      </c>
      <c r="Y26" s="6" t="s">
        <v>59</v>
      </c>
      <c r="Z26" s="6" t="s">
        <v>60</v>
      </c>
      <c r="AA26" s="6"/>
      <c r="AB26" s="6"/>
      <c r="AC26" s="3">
        <v>4</v>
      </c>
    </row>
    <row r="27" spans="1:29" ht="40.200000000000003" thickBot="1" x14ac:dyDescent="0.35">
      <c r="A27" s="1" t="s">
        <v>0</v>
      </c>
      <c r="B27" s="1">
        <f t="shared" si="0"/>
        <v>2</v>
      </c>
      <c r="C27" s="9" t="s">
        <v>61</v>
      </c>
      <c r="D27" s="2"/>
      <c r="E27" s="3">
        <v>2</v>
      </c>
      <c r="F27" s="4">
        <v>45765</v>
      </c>
      <c r="G27" s="4">
        <v>45768</v>
      </c>
      <c r="H27" s="3">
        <v>3</v>
      </c>
      <c r="I27" s="5" t="s">
        <v>2</v>
      </c>
      <c r="J27" s="1"/>
      <c r="K27" s="6" t="s">
        <v>7</v>
      </c>
      <c r="L27" s="7">
        <v>17000</v>
      </c>
      <c r="M27" s="7">
        <v>5000</v>
      </c>
      <c r="N27" s="6"/>
      <c r="O27" s="6"/>
      <c r="P27" s="7">
        <v>2050</v>
      </c>
      <c r="Q27" s="6"/>
      <c r="R27" s="6"/>
      <c r="S27" s="6"/>
      <c r="T27" s="6"/>
      <c r="U27" s="7">
        <v>12690</v>
      </c>
      <c r="V27" s="7">
        <v>19050</v>
      </c>
      <c r="W27" s="7">
        <v>1360</v>
      </c>
      <c r="X27" s="7">
        <v>17690</v>
      </c>
      <c r="Y27" s="6"/>
      <c r="Z27" s="6" t="s">
        <v>62</v>
      </c>
      <c r="AA27" s="6"/>
      <c r="AB27" s="6"/>
      <c r="AC27" s="3">
        <v>6</v>
      </c>
    </row>
    <row r="28" spans="1:29" ht="40.200000000000003" thickBot="1" x14ac:dyDescent="0.35">
      <c r="A28" s="1" t="s">
        <v>13</v>
      </c>
      <c r="B28" s="1">
        <f t="shared" si="0"/>
        <v>3</v>
      </c>
      <c r="C28" s="1" t="s">
        <v>63</v>
      </c>
      <c r="D28" s="2"/>
      <c r="E28" s="3">
        <v>2</v>
      </c>
      <c r="F28" s="4">
        <v>45765</v>
      </c>
      <c r="G28" s="4">
        <v>45766</v>
      </c>
      <c r="H28" s="3">
        <v>1</v>
      </c>
      <c r="I28" s="5" t="s">
        <v>2</v>
      </c>
      <c r="J28" s="1"/>
      <c r="K28" s="6" t="s">
        <v>3</v>
      </c>
      <c r="L28" s="7">
        <v>3403</v>
      </c>
      <c r="M28" s="6"/>
      <c r="N28" s="3">
        <v>900</v>
      </c>
      <c r="O28" s="6"/>
      <c r="P28" s="3">
        <v>900</v>
      </c>
      <c r="Q28" s="6"/>
      <c r="R28" s="6"/>
      <c r="S28" s="6"/>
      <c r="T28" s="6"/>
      <c r="U28" s="7">
        <v>4303</v>
      </c>
      <c r="V28" s="7">
        <v>4303</v>
      </c>
      <c r="W28" s="6"/>
      <c r="X28" s="7">
        <v>4303</v>
      </c>
      <c r="Y28" s="6" t="s">
        <v>64</v>
      </c>
      <c r="Z28" s="6" t="s">
        <v>65</v>
      </c>
      <c r="AA28" s="6"/>
      <c r="AB28" s="6"/>
      <c r="AC28" s="3">
        <v>2</v>
      </c>
    </row>
    <row r="29" spans="1:29" ht="40.200000000000003" thickBot="1" x14ac:dyDescent="0.35">
      <c r="A29" s="1" t="s">
        <v>15</v>
      </c>
      <c r="B29" s="1">
        <f t="shared" si="0"/>
        <v>4</v>
      </c>
      <c r="C29" s="1" t="s">
        <v>66</v>
      </c>
      <c r="D29" s="2"/>
      <c r="E29" s="3">
        <v>2</v>
      </c>
      <c r="F29" s="4">
        <v>45765</v>
      </c>
      <c r="G29" s="4">
        <v>45766</v>
      </c>
      <c r="H29" s="3">
        <v>1</v>
      </c>
      <c r="I29" s="5" t="s">
        <v>2</v>
      </c>
      <c r="J29" s="1"/>
      <c r="K29" s="6" t="s">
        <v>3</v>
      </c>
      <c r="L29" s="7">
        <v>3403</v>
      </c>
      <c r="M29" s="6"/>
      <c r="N29" s="6"/>
      <c r="O29" s="6"/>
      <c r="P29" s="6"/>
      <c r="Q29" s="6"/>
      <c r="R29" s="6"/>
      <c r="S29" s="6"/>
      <c r="T29" s="6"/>
      <c r="U29" s="7">
        <v>3403</v>
      </c>
      <c r="V29" s="7">
        <v>3403</v>
      </c>
      <c r="W29" s="6"/>
      <c r="X29" s="7">
        <v>3403</v>
      </c>
      <c r="Y29" s="6"/>
      <c r="Z29" s="6" t="s">
        <v>67</v>
      </c>
      <c r="AA29" s="6"/>
      <c r="AB29" s="6"/>
      <c r="AC29" s="3">
        <v>2</v>
      </c>
    </row>
    <row r="30" spans="1:29" ht="40.200000000000003" thickBot="1" x14ac:dyDescent="0.35">
      <c r="A30" s="1" t="s">
        <v>5</v>
      </c>
      <c r="B30" s="1">
        <f t="shared" si="0"/>
        <v>1</v>
      </c>
      <c r="C30" s="1" t="s">
        <v>68</v>
      </c>
      <c r="D30" s="2"/>
      <c r="E30" s="3">
        <v>6</v>
      </c>
      <c r="F30" s="4">
        <v>45766</v>
      </c>
      <c r="G30" s="4">
        <v>45767</v>
      </c>
      <c r="H30" s="3">
        <v>1</v>
      </c>
      <c r="I30" s="5" t="s">
        <v>2</v>
      </c>
      <c r="J30" s="1"/>
      <c r="K30" s="6" t="s">
        <v>7</v>
      </c>
      <c r="L30" s="7">
        <v>10000</v>
      </c>
      <c r="M30" s="7">
        <v>3000</v>
      </c>
      <c r="N30" s="6"/>
      <c r="O30" s="6"/>
      <c r="P30" s="6"/>
      <c r="Q30" s="6"/>
      <c r="R30" s="6"/>
      <c r="S30" s="6"/>
      <c r="T30" s="6"/>
      <c r="U30" s="7">
        <v>6200</v>
      </c>
      <c r="V30" s="7">
        <v>10000</v>
      </c>
      <c r="W30" s="3">
        <v>800</v>
      </c>
      <c r="X30" s="7">
        <v>9200</v>
      </c>
      <c r="Y30" s="6"/>
      <c r="Z30" s="6" t="s">
        <v>69</v>
      </c>
      <c r="AA30" s="6"/>
      <c r="AB30" s="6"/>
      <c r="AC30" s="3">
        <v>6</v>
      </c>
    </row>
    <row r="31" spans="1:29" ht="40.200000000000003" thickBot="1" x14ac:dyDescent="0.35">
      <c r="A31" s="1" t="s">
        <v>13</v>
      </c>
      <c r="B31" s="1">
        <f t="shared" si="0"/>
        <v>3</v>
      </c>
      <c r="C31" s="1" t="s">
        <v>70</v>
      </c>
      <c r="D31" s="8">
        <v>9944963396</v>
      </c>
      <c r="E31" s="3">
        <v>4</v>
      </c>
      <c r="F31" s="4">
        <v>45766</v>
      </c>
      <c r="G31" s="4">
        <v>45768</v>
      </c>
      <c r="H31" s="3">
        <v>2</v>
      </c>
      <c r="I31" s="5" t="s">
        <v>2</v>
      </c>
      <c r="J31" s="1"/>
      <c r="K31" s="6" t="s">
        <v>7</v>
      </c>
      <c r="L31" s="6"/>
      <c r="M31" s="6"/>
      <c r="N31" s="6"/>
      <c r="O31" s="6"/>
      <c r="P31" s="6"/>
      <c r="Q31" s="6"/>
      <c r="R31" s="6"/>
      <c r="S31" s="6"/>
      <c r="T31" s="6"/>
      <c r="U31" s="3">
        <v>0</v>
      </c>
      <c r="V31" s="3">
        <v>0</v>
      </c>
      <c r="W31" s="3">
        <v>0</v>
      </c>
      <c r="X31" s="3">
        <v>0</v>
      </c>
      <c r="Y31" s="6" t="s">
        <v>71</v>
      </c>
      <c r="Z31" s="6" t="s">
        <v>72</v>
      </c>
      <c r="AA31" s="6"/>
      <c r="AB31" s="6"/>
      <c r="AC31" s="3">
        <v>8</v>
      </c>
    </row>
    <row r="32" spans="1:29" ht="40.200000000000003" thickBot="1" x14ac:dyDescent="0.35">
      <c r="A32" s="1" t="s">
        <v>15</v>
      </c>
      <c r="B32" s="1">
        <f t="shared" si="0"/>
        <v>4</v>
      </c>
      <c r="C32" s="9" t="s">
        <v>70</v>
      </c>
      <c r="D32" s="2"/>
      <c r="E32" s="6"/>
      <c r="F32" s="4">
        <v>45766</v>
      </c>
      <c r="G32" s="4">
        <v>45768</v>
      </c>
      <c r="H32" s="3">
        <v>2</v>
      </c>
      <c r="I32" s="5" t="s">
        <v>2</v>
      </c>
      <c r="J32" s="1"/>
      <c r="K32" s="6" t="s">
        <v>7</v>
      </c>
      <c r="L32" s="7">
        <v>16000</v>
      </c>
      <c r="M32" s="7">
        <v>4000</v>
      </c>
      <c r="N32" s="6"/>
      <c r="O32" s="6"/>
      <c r="P32" s="7">
        <v>4250</v>
      </c>
      <c r="Q32" s="6"/>
      <c r="R32" s="6"/>
      <c r="S32" s="6"/>
      <c r="T32" s="6"/>
      <c r="U32" s="7">
        <v>14970</v>
      </c>
      <c r="V32" s="7">
        <v>20250</v>
      </c>
      <c r="W32" s="7">
        <v>1280</v>
      </c>
      <c r="X32" s="7">
        <v>18970</v>
      </c>
      <c r="Y32" s="6"/>
      <c r="Z32" s="6" t="s">
        <v>73</v>
      </c>
      <c r="AA32" s="6"/>
      <c r="AB32" s="6"/>
      <c r="AC32" s="3">
        <v>0</v>
      </c>
    </row>
    <row r="33" spans="1:29" ht="40.200000000000003" thickBot="1" x14ac:dyDescent="0.35">
      <c r="A33" s="1" t="s">
        <v>0</v>
      </c>
      <c r="B33" s="1">
        <f t="shared" si="0"/>
        <v>2</v>
      </c>
      <c r="C33" s="1" t="s">
        <v>74</v>
      </c>
      <c r="D33" s="8">
        <v>9731499126</v>
      </c>
      <c r="E33" s="3">
        <v>3</v>
      </c>
      <c r="F33" s="4">
        <v>45768</v>
      </c>
      <c r="G33" s="4">
        <v>45769</v>
      </c>
      <c r="H33" s="3">
        <v>1</v>
      </c>
      <c r="I33" s="5" t="s">
        <v>2</v>
      </c>
      <c r="J33" s="1"/>
      <c r="K33" s="6" t="s">
        <v>7</v>
      </c>
      <c r="L33" s="7">
        <v>6500</v>
      </c>
      <c r="M33" s="7">
        <v>3250</v>
      </c>
      <c r="N33" s="6"/>
      <c r="O33" s="6"/>
      <c r="P33" s="7">
        <v>1360</v>
      </c>
      <c r="Q33" s="6"/>
      <c r="R33" s="6"/>
      <c r="S33" s="6"/>
      <c r="T33" s="6"/>
      <c r="U33" s="7">
        <v>4090</v>
      </c>
      <c r="V33" s="7">
        <v>7860</v>
      </c>
      <c r="W33" s="3">
        <v>520</v>
      </c>
      <c r="X33" s="7">
        <v>7340</v>
      </c>
      <c r="Y33" s="6"/>
      <c r="Z33" s="6" t="s">
        <v>75</v>
      </c>
      <c r="AA33" s="6"/>
      <c r="AB33" s="6"/>
      <c r="AC33" s="3">
        <v>3</v>
      </c>
    </row>
    <row r="34" spans="1:29" ht="40.200000000000003" thickBot="1" x14ac:dyDescent="0.35">
      <c r="A34" s="1" t="s">
        <v>5</v>
      </c>
      <c r="B34" s="1">
        <f t="shared" si="0"/>
        <v>1</v>
      </c>
      <c r="C34" s="9" t="s">
        <v>76</v>
      </c>
      <c r="D34" s="2"/>
      <c r="E34" s="3">
        <v>2</v>
      </c>
      <c r="F34" s="4">
        <v>45768</v>
      </c>
      <c r="G34" s="4">
        <v>45769</v>
      </c>
      <c r="H34" s="3">
        <v>1</v>
      </c>
      <c r="I34" s="5" t="s">
        <v>2</v>
      </c>
      <c r="J34" s="1"/>
      <c r="K34" s="6" t="s">
        <v>3</v>
      </c>
      <c r="L34" s="7">
        <v>5444</v>
      </c>
      <c r="M34" s="6"/>
      <c r="N34" s="6"/>
      <c r="O34" s="6"/>
      <c r="P34" s="6"/>
      <c r="Q34" s="6"/>
      <c r="R34" s="6"/>
      <c r="S34" s="6"/>
      <c r="T34" s="6"/>
      <c r="U34" s="7">
        <v>5444</v>
      </c>
      <c r="V34" s="7">
        <v>5444</v>
      </c>
      <c r="W34" s="6"/>
      <c r="X34" s="7">
        <v>5444</v>
      </c>
      <c r="Y34" s="6"/>
      <c r="Z34" s="6" t="s">
        <v>77</v>
      </c>
      <c r="AA34" s="6"/>
      <c r="AB34" s="6"/>
      <c r="AC34" s="3">
        <v>2</v>
      </c>
    </row>
    <row r="35" spans="1:29" ht="40.200000000000003" thickBot="1" x14ac:dyDescent="0.35">
      <c r="A35" s="1" t="s">
        <v>13</v>
      </c>
      <c r="B35" s="1">
        <f t="shared" si="0"/>
        <v>3</v>
      </c>
      <c r="C35" s="1" t="s">
        <v>48</v>
      </c>
      <c r="D35" s="2"/>
      <c r="E35" s="3">
        <v>4</v>
      </c>
      <c r="F35" s="4">
        <v>45768</v>
      </c>
      <c r="G35" s="4">
        <v>45769</v>
      </c>
      <c r="H35" s="3">
        <v>1</v>
      </c>
      <c r="I35" s="5" t="s">
        <v>2</v>
      </c>
      <c r="J35" s="1"/>
      <c r="K35" s="6" t="s">
        <v>3</v>
      </c>
      <c r="L35" s="7">
        <v>6125</v>
      </c>
      <c r="M35" s="6"/>
      <c r="N35" s="6"/>
      <c r="O35" s="6"/>
      <c r="P35" s="7">
        <v>2590</v>
      </c>
      <c r="Q35" s="6"/>
      <c r="R35" s="6"/>
      <c r="S35" s="6"/>
      <c r="T35" s="6"/>
      <c r="U35" s="7">
        <v>8715</v>
      </c>
      <c r="V35" s="7">
        <v>8715</v>
      </c>
      <c r="W35" s="6"/>
      <c r="X35" s="7">
        <v>8715</v>
      </c>
      <c r="Y35" s="6"/>
      <c r="Z35" s="6" t="s">
        <v>78</v>
      </c>
      <c r="AA35" s="6"/>
      <c r="AB35" s="6"/>
      <c r="AC35" s="3">
        <v>4</v>
      </c>
    </row>
    <row r="36" spans="1:29" ht="40.200000000000003" thickBot="1" x14ac:dyDescent="0.35">
      <c r="A36" s="1" t="s">
        <v>15</v>
      </c>
      <c r="B36" s="1">
        <f t="shared" si="0"/>
        <v>4</v>
      </c>
      <c r="C36" s="1" t="s">
        <v>48</v>
      </c>
      <c r="D36" s="2"/>
      <c r="E36" s="6"/>
      <c r="F36" s="4">
        <v>45768</v>
      </c>
      <c r="G36" s="4">
        <v>45769</v>
      </c>
      <c r="H36" s="3">
        <v>1</v>
      </c>
      <c r="I36" s="5" t="s">
        <v>2</v>
      </c>
      <c r="J36" s="1"/>
      <c r="K36" s="6" t="s">
        <v>3</v>
      </c>
      <c r="L36" s="6"/>
      <c r="M36" s="6"/>
      <c r="N36" s="6"/>
      <c r="O36" s="6"/>
      <c r="P36" s="6"/>
      <c r="Q36" s="6"/>
      <c r="R36" s="6"/>
      <c r="S36" s="6"/>
      <c r="T36" s="6"/>
      <c r="U36" s="3">
        <v>0</v>
      </c>
      <c r="V36" s="3">
        <v>0</v>
      </c>
      <c r="W36" s="6"/>
      <c r="X36" s="3">
        <v>0</v>
      </c>
      <c r="Y36" s="6"/>
      <c r="Z36" s="6" t="s">
        <v>79</v>
      </c>
      <c r="AA36" s="6"/>
      <c r="AB36" s="6"/>
      <c r="AC36" s="3">
        <v>0</v>
      </c>
    </row>
    <row r="37" spans="1:29" ht="40.200000000000003" thickBot="1" x14ac:dyDescent="0.35">
      <c r="A37" s="1" t="s">
        <v>5</v>
      </c>
      <c r="B37" s="1">
        <f t="shared" si="0"/>
        <v>1</v>
      </c>
      <c r="C37" s="1" t="s">
        <v>80</v>
      </c>
      <c r="D37" s="8">
        <v>6300935081</v>
      </c>
      <c r="E37" s="3">
        <v>6</v>
      </c>
      <c r="F37" s="4">
        <v>45769</v>
      </c>
      <c r="G37" s="4">
        <v>45770</v>
      </c>
      <c r="H37" s="3">
        <v>1</v>
      </c>
      <c r="I37" s="5" t="s">
        <v>2</v>
      </c>
      <c r="J37" s="1"/>
      <c r="K37" s="6" t="s">
        <v>3</v>
      </c>
      <c r="L37" s="6"/>
      <c r="M37" s="6"/>
      <c r="N37" s="6"/>
      <c r="O37" s="6"/>
      <c r="P37" s="7">
        <v>1360</v>
      </c>
      <c r="Q37" s="6"/>
      <c r="R37" s="6"/>
      <c r="S37" s="6"/>
      <c r="T37" s="6"/>
      <c r="U37" s="7">
        <v>1360</v>
      </c>
      <c r="V37" s="7">
        <v>1360</v>
      </c>
      <c r="W37" s="6"/>
      <c r="X37" s="7">
        <v>1360</v>
      </c>
      <c r="Y37" s="6"/>
      <c r="Z37" s="6" t="s">
        <v>81</v>
      </c>
      <c r="AA37" s="6"/>
      <c r="AB37" s="6"/>
      <c r="AC37" s="3">
        <v>6</v>
      </c>
    </row>
    <row r="38" spans="1:29" ht="40.200000000000003" thickBot="1" x14ac:dyDescent="0.35">
      <c r="A38" s="1" t="s">
        <v>15</v>
      </c>
      <c r="B38" s="1">
        <f t="shared" si="0"/>
        <v>4</v>
      </c>
      <c r="C38" s="1" t="s">
        <v>80</v>
      </c>
      <c r="D38" s="2"/>
      <c r="E38" s="3">
        <v>3</v>
      </c>
      <c r="F38" s="4">
        <v>45769</v>
      </c>
      <c r="G38" s="4">
        <v>45770</v>
      </c>
      <c r="H38" s="3">
        <v>1</v>
      </c>
      <c r="I38" s="5" t="s">
        <v>2</v>
      </c>
      <c r="J38" s="1"/>
      <c r="K38" s="6" t="s">
        <v>3</v>
      </c>
      <c r="L38" s="6"/>
      <c r="M38" s="6"/>
      <c r="N38" s="6"/>
      <c r="O38" s="6"/>
      <c r="P38" s="6"/>
      <c r="Q38" s="6"/>
      <c r="R38" s="6"/>
      <c r="S38" s="6"/>
      <c r="T38" s="6"/>
      <c r="U38" s="3">
        <v>0</v>
      </c>
      <c r="V38" s="3">
        <v>0</v>
      </c>
      <c r="W38" s="6"/>
      <c r="X38" s="3">
        <v>0</v>
      </c>
      <c r="Y38" s="6"/>
      <c r="Z38" s="6" t="s">
        <v>82</v>
      </c>
      <c r="AA38" s="6"/>
      <c r="AB38" s="6"/>
      <c r="AC38" s="3">
        <v>3</v>
      </c>
    </row>
    <row r="39" spans="1:29" ht="40.200000000000003" thickBot="1" x14ac:dyDescent="0.35">
      <c r="A39" s="1" t="s">
        <v>0</v>
      </c>
      <c r="B39" s="1">
        <f t="shared" si="0"/>
        <v>2</v>
      </c>
      <c r="C39" s="1" t="s">
        <v>80</v>
      </c>
      <c r="D39" s="2"/>
      <c r="E39" s="3">
        <v>4</v>
      </c>
      <c r="F39" s="4">
        <v>45769</v>
      </c>
      <c r="G39" s="4">
        <v>45770</v>
      </c>
      <c r="H39" s="3">
        <v>1</v>
      </c>
      <c r="I39" s="5" t="s">
        <v>2</v>
      </c>
      <c r="J39" s="1"/>
      <c r="K39" s="6" t="s">
        <v>3</v>
      </c>
      <c r="L39" s="6"/>
      <c r="M39" s="6"/>
      <c r="N39" s="6"/>
      <c r="O39" s="6"/>
      <c r="P39" s="6"/>
      <c r="Q39" s="6"/>
      <c r="R39" s="6"/>
      <c r="S39" s="6"/>
      <c r="T39" s="6"/>
      <c r="U39" s="3">
        <v>0</v>
      </c>
      <c r="V39" s="3">
        <v>0</v>
      </c>
      <c r="W39" s="6"/>
      <c r="X39" s="3">
        <v>0</v>
      </c>
      <c r="Y39" s="6"/>
      <c r="Z39" s="6" t="s">
        <v>83</v>
      </c>
      <c r="AA39" s="10" t="s">
        <v>84</v>
      </c>
      <c r="AB39" s="6"/>
      <c r="AC39" s="3">
        <v>4</v>
      </c>
    </row>
    <row r="40" spans="1:29" ht="40.200000000000003" thickBot="1" x14ac:dyDescent="0.35">
      <c r="A40" s="1" t="s">
        <v>0</v>
      </c>
      <c r="B40" s="1">
        <f t="shared" si="0"/>
        <v>2</v>
      </c>
      <c r="C40" s="1" t="s">
        <v>85</v>
      </c>
      <c r="D40" s="2"/>
      <c r="E40" s="3">
        <v>4</v>
      </c>
      <c r="F40" s="4">
        <v>45771</v>
      </c>
      <c r="G40" s="4">
        <v>45774</v>
      </c>
      <c r="H40" s="3">
        <v>3</v>
      </c>
      <c r="I40" s="5" t="s">
        <v>2</v>
      </c>
      <c r="J40" s="1"/>
      <c r="K40" s="6" t="s">
        <v>3</v>
      </c>
      <c r="L40" s="3">
        <v>15994</v>
      </c>
      <c r="M40" s="6"/>
      <c r="N40" s="6"/>
      <c r="O40" s="6"/>
      <c r="P40" s="7">
        <v>1920</v>
      </c>
      <c r="Q40" s="6"/>
      <c r="R40" s="6"/>
      <c r="S40" s="6"/>
      <c r="T40" s="6"/>
      <c r="U40" s="7">
        <v>17914</v>
      </c>
      <c r="V40" s="7">
        <v>17914</v>
      </c>
      <c r="W40" s="6"/>
      <c r="X40" s="7">
        <v>17914</v>
      </c>
      <c r="Y40" s="6"/>
      <c r="Z40" s="6" t="s">
        <v>86</v>
      </c>
      <c r="AA40" s="6"/>
      <c r="AB40" s="6" t="s">
        <v>87</v>
      </c>
      <c r="AC40" s="3">
        <v>12</v>
      </c>
    </row>
    <row r="41" spans="1:29" ht="40.200000000000003" thickBot="1" x14ac:dyDescent="0.35">
      <c r="A41" s="1" t="s">
        <v>5</v>
      </c>
      <c r="B41" s="1">
        <f t="shared" si="0"/>
        <v>1</v>
      </c>
      <c r="C41" s="1" t="s">
        <v>88</v>
      </c>
      <c r="D41" s="2"/>
      <c r="E41" s="3">
        <v>3</v>
      </c>
      <c r="F41" s="4">
        <v>45771</v>
      </c>
      <c r="G41" s="4">
        <v>45773</v>
      </c>
      <c r="H41" s="3">
        <v>2</v>
      </c>
      <c r="I41" s="5" t="s">
        <v>2</v>
      </c>
      <c r="J41" s="1"/>
      <c r="K41" s="6" t="s">
        <v>7</v>
      </c>
      <c r="L41" s="7">
        <v>15000</v>
      </c>
      <c r="M41" s="7">
        <v>7500</v>
      </c>
      <c r="N41" s="6"/>
      <c r="O41" s="6"/>
      <c r="P41" s="7">
        <v>1180</v>
      </c>
      <c r="Q41" s="6"/>
      <c r="R41" s="6"/>
      <c r="S41" s="6"/>
      <c r="T41" s="6"/>
      <c r="U41" s="7">
        <v>7480</v>
      </c>
      <c r="V41" s="7">
        <v>16180</v>
      </c>
      <c r="W41" s="7">
        <v>1200</v>
      </c>
      <c r="X41" s="7">
        <v>14980</v>
      </c>
      <c r="Y41" s="6" t="s">
        <v>89</v>
      </c>
      <c r="Z41" s="6" t="s">
        <v>90</v>
      </c>
      <c r="AA41" s="6"/>
      <c r="AB41" s="6"/>
      <c r="AC41" s="3">
        <v>6</v>
      </c>
    </row>
    <row r="42" spans="1:29" ht="40.200000000000003" thickBot="1" x14ac:dyDescent="0.35">
      <c r="A42" s="1" t="s">
        <v>13</v>
      </c>
      <c r="B42" s="1">
        <f t="shared" si="0"/>
        <v>3</v>
      </c>
      <c r="C42" s="9" t="s">
        <v>91</v>
      </c>
      <c r="D42" s="2"/>
      <c r="E42" s="3">
        <v>2</v>
      </c>
      <c r="F42" s="4">
        <v>45773</v>
      </c>
      <c r="G42" s="4">
        <v>45774</v>
      </c>
      <c r="H42" s="3">
        <v>1</v>
      </c>
      <c r="I42" s="5" t="s">
        <v>2</v>
      </c>
      <c r="J42" s="1"/>
      <c r="K42" s="6" t="s">
        <v>3</v>
      </c>
      <c r="L42" s="7">
        <v>5445</v>
      </c>
      <c r="M42" s="6"/>
      <c r="N42" s="6"/>
      <c r="O42" s="6"/>
      <c r="P42" s="7">
        <v>1080</v>
      </c>
      <c r="Q42" s="6"/>
      <c r="R42" s="6"/>
      <c r="S42" s="6"/>
      <c r="T42" s="6"/>
      <c r="U42" s="7">
        <v>6525</v>
      </c>
      <c r="V42" s="7">
        <v>6525</v>
      </c>
      <c r="W42" s="6"/>
      <c r="X42" s="7">
        <v>6525</v>
      </c>
      <c r="Y42" s="6" t="s">
        <v>92</v>
      </c>
      <c r="Z42" s="6" t="s">
        <v>93</v>
      </c>
      <c r="AA42" s="6"/>
      <c r="AB42" s="6"/>
      <c r="AC42" s="3">
        <v>2</v>
      </c>
    </row>
    <row r="43" spans="1:29" ht="53.4" thickBot="1" x14ac:dyDescent="0.35">
      <c r="A43" s="1" t="s">
        <v>5</v>
      </c>
      <c r="B43" s="1">
        <f t="shared" si="0"/>
        <v>1</v>
      </c>
      <c r="C43" s="9" t="s">
        <v>94</v>
      </c>
      <c r="D43" s="2"/>
      <c r="E43" s="3">
        <v>2</v>
      </c>
      <c r="F43" s="4">
        <v>45773</v>
      </c>
      <c r="G43" s="4">
        <v>45774</v>
      </c>
      <c r="H43" s="3">
        <v>1</v>
      </c>
      <c r="I43" s="5" t="s">
        <v>2</v>
      </c>
      <c r="J43" s="1"/>
      <c r="K43" s="6" t="s">
        <v>95</v>
      </c>
      <c r="L43" s="7">
        <v>26000</v>
      </c>
      <c r="M43" s="7">
        <v>2000</v>
      </c>
      <c r="N43" s="6" t="s">
        <v>64</v>
      </c>
      <c r="O43" s="6"/>
      <c r="P43" s="7">
        <v>5115</v>
      </c>
      <c r="Q43" s="6"/>
      <c r="R43" s="6"/>
      <c r="S43" s="6"/>
      <c r="T43" s="6"/>
      <c r="U43" s="7">
        <v>29115</v>
      </c>
      <c r="V43" s="7">
        <v>31115</v>
      </c>
      <c r="W43" s="6"/>
      <c r="X43" s="7">
        <v>31115</v>
      </c>
      <c r="Y43" s="6" t="s">
        <v>96</v>
      </c>
      <c r="Z43" s="6" t="s">
        <v>97</v>
      </c>
      <c r="AA43" s="6"/>
      <c r="AB43" s="6"/>
      <c r="AC43" s="3">
        <v>2</v>
      </c>
    </row>
    <row r="44" spans="1:29" ht="40.200000000000003" thickBot="1" x14ac:dyDescent="0.35">
      <c r="A44" s="1" t="s">
        <v>13</v>
      </c>
      <c r="B44" s="1">
        <f t="shared" si="0"/>
        <v>3</v>
      </c>
      <c r="C44" s="9" t="s">
        <v>94</v>
      </c>
      <c r="D44" s="2"/>
      <c r="E44" s="3">
        <v>2</v>
      </c>
      <c r="F44" s="4">
        <v>45774</v>
      </c>
      <c r="G44" s="4">
        <v>45776</v>
      </c>
      <c r="H44" s="3">
        <v>2</v>
      </c>
      <c r="I44" s="5" t="s">
        <v>2</v>
      </c>
      <c r="J44" s="1"/>
      <c r="K44" s="6"/>
      <c r="L44" s="6"/>
      <c r="M44" s="6"/>
      <c r="N44" s="6"/>
      <c r="O44" s="6"/>
      <c r="P44" s="6"/>
      <c r="Q44" s="6"/>
      <c r="R44" s="6"/>
      <c r="S44" s="6"/>
      <c r="T44" s="6"/>
      <c r="U44" s="3">
        <v>0</v>
      </c>
      <c r="V44" s="3">
        <v>0</v>
      </c>
      <c r="W44" s="6"/>
      <c r="X44" s="3">
        <v>0</v>
      </c>
      <c r="Y44" s="6"/>
      <c r="Z44" s="6" t="s">
        <v>98</v>
      </c>
      <c r="AA44" s="6"/>
      <c r="AB44" s="6"/>
      <c r="AC44" s="3">
        <v>4</v>
      </c>
    </row>
    <row r="45" spans="1:29" ht="40.200000000000003" thickBot="1" x14ac:dyDescent="0.35">
      <c r="A45" s="1" t="s">
        <v>15</v>
      </c>
      <c r="B45" s="1">
        <f t="shared" si="0"/>
        <v>4</v>
      </c>
      <c r="C45" s="1" t="s">
        <v>94</v>
      </c>
      <c r="D45" s="8">
        <v>9962978910</v>
      </c>
      <c r="E45" s="3">
        <v>2</v>
      </c>
      <c r="F45" s="4">
        <v>45774</v>
      </c>
      <c r="G45" s="4">
        <v>45776</v>
      </c>
      <c r="H45" s="3">
        <v>2</v>
      </c>
      <c r="I45" s="5" t="s">
        <v>2</v>
      </c>
      <c r="J45" s="1"/>
      <c r="K45" s="6"/>
      <c r="L45" s="6"/>
      <c r="M45" s="6"/>
      <c r="N45" s="6"/>
      <c r="O45" s="6"/>
      <c r="P45" s="6"/>
      <c r="Q45" s="6"/>
      <c r="R45" s="6"/>
      <c r="S45" s="6"/>
      <c r="T45" s="6"/>
      <c r="U45" s="3">
        <v>0</v>
      </c>
      <c r="V45" s="3">
        <v>0</v>
      </c>
      <c r="W45" s="6"/>
      <c r="X45" s="3">
        <v>0</v>
      </c>
      <c r="Y45" s="6"/>
      <c r="Z45" s="6" t="s">
        <v>99</v>
      </c>
      <c r="AA45" s="10" t="s">
        <v>100</v>
      </c>
      <c r="AB45" s="6"/>
      <c r="AC45" s="3">
        <v>4</v>
      </c>
    </row>
    <row r="46" spans="1:29" ht="40.200000000000003" thickBot="1" x14ac:dyDescent="0.35">
      <c r="A46" s="1" t="s">
        <v>0</v>
      </c>
      <c r="B46" s="1">
        <f t="shared" si="0"/>
        <v>2</v>
      </c>
      <c r="C46" s="1" t="s">
        <v>101</v>
      </c>
      <c r="D46" s="2"/>
      <c r="E46" s="3">
        <v>5</v>
      </c>
      <c r="F46" s="4">
        <v>45775</v>
      </c>
      <c r="G46" s="4">
        <v>45776</v>
      </c>
      <c r="H46" s="3">
        <v>1</v>
      </c>
      <c r="I46" s="5" t="s">
        <v>2</v>
      </c>
      <c r="J46" s="1"/>
      <c r="K46" s="6" t="s">
        <v>102</v>
      </c>
      <c r="L46" s="7">
        <v>9000</v>
      </c>
      <c r="M46" s="6"/>
      <c r="N46" s="6"/>
      <c r="O46" s="6"/>
      <c r="P46" s="7">
        <v>1350</v>
      </c>
      <c r="Q46" s="6"/>
      <c r="R46" s="6"/>
      <c r="S46" s="6"/>
      <c r="T46" s="6"/>
      <c r="U46" s="7">
        <v>10350</v>
      </c>
      <c r="V46" s="7">
        <v>10350</v>
      </c>
      <c r="W46" s="6"/>
      <c r="X46" s="7">
        <v>10350</v>
      </c>
      <c r="Y46" s="6" t="s">
        <v>103</v>
      </c>
      <c r="Z46" s="6" t="s">
        <v>104</v>
      </c>
      <c r="AA46" s="6"/>
      <c r="AB46" s="6"/>
      <c r="AC46" s="3">
        <v>5</v>
      </c>
    </row>
    <row r="47" spans="1:29" ht="40.200000000000003" thickBot="1" x14ac:dyDescent="0.35">
      <c r="A47" s="1" t="s">
        <v>15</v>
      </c>
      <c r="B47" s="1">
        <f t="shared" si="0"/>
        <v>4</v>
      </c>
      <c r="C47" s="1" t="s">
        <v>105</v>
      </c>
      <c r="D47" s="2"/>
      <c r="E47" s="3">
        <v>2</v>
      </c>
      <c r="F47" s="4">
        <v>45776</v>
      </c>
      <c r="G47" s="4">
        <v>45778</v>
      </c>
      <c r="H47" s="3">
        <v>2</v>
      </c>
      <c r="I47" s="5" t="s">
        <v>2</v>
      </c>
      <c r="J47" s="1"/>
      <c r="K47" s="6" t="s">
        <v>7</v>
      </c>
      <c r="L47" s="7">
        <v>8000</v>
      </c>
      <c r="M47" s="7">
        <v>2000</v>
      </c>
      <c r="N47" s="6" t="s">
        <v>64</v>
      </c>
      <c r="O47" s="6"/>
      <c r="P47" s="7">
        <v>2320</v>
      </c>
      <c r="Q47" s="6"/>
      <c r="R47" s="6"/>
      <c r="S47" s="6"/>
      <c r="T47" s="6"/>
      <c r="U47" s="7">
        <v>7680</v>
      </c>
      <c r="V47" s="7">
        <v>10320</v>
      </c>
      <c r="W47" s="3">
        <v>640</v>
      </c>
      <c r="X47" s="7">
        <v>9680</v>
      </c>
      <c r="Y47" s="6" t="s">
        <v>64</v>
      </c>
      <c r="Z47" s="6" t="s">
        <v>106</v>
      </c>
      <c r="AA47" s="10" t="s">
        <v>107</v>
      </c>
      <c r="AB47" s="6"/>
      <c r="AC47" s="3">
        <v>4</v>
      </c>
    </row>
    <row r="48" spans="1:29" ht="40.200000000000003" thickBot="1" x14ac:dyDescent="0.35">
      <c r="A48" s="1" t="s">
        <v>13</v>
      </c>
      <c r="B48" s="1">
        <f t="shared" si="0"/>
        <v>3</v>
      </c>
      <c r="C48" s="1" t="s">
        <v>108</v>
      </c>
      <c r="D48" s="2"/>
      <c r="E48" s="3">
        <v>2</v>
      </c>
      <c r="F48" s="4">
        <v>45776</v>
      </c>
      <c r="G48" s="4">
        <v>45777</v>
      </c>
      <c r="H48" s="3">
        <v>1</v>
      </c>
      <c r="I48" s="5" t="s">
        <v>2</v>
      </c>
      <c r="J48" s="1"/>
      <c r="K48" s="6" t="s">
        <v>7</v>
      </c>
      <c r="L48" s="7">
        <v>4000</v>
      </c>
      <c r="M48" s="7">
        <v>4500</v>
      </c>
      <c r="N48" s="6" t="s">
        <v>64</v>
      </c>
      <c r="O48" s="6"/>
      <c r="P48" s="7">
        <v>1110</v>
      </c>
      <c r="Q48" s="6"/>
      <c r="R48" s="6"/>
      <c r="S48" s="6"/>
      <c r="T48" s="6"/>
      <c r="U48" s="3">
        <v>290</v>
      </c>
      <c r="V48" s="7">
        <v>5110</v>
      </c>
      <c r="W48" s="3">
        <v>320</v>
      </c>
      <c r="X48" s="7">
        <v>4790</v>
      </c>
      <c r="Y48" s="6" t="s">
        <v>64</v>
      </c>
      <c r="Z48" s="6" t="s">
        <v>109</v>
      </c>
      <c r="AA48" s="6"/>
      <c r="AB48" s="6"/>
      <c r="AC48" s="3">
        <v>2</v>
      </c>
    </row>
    <row r="49" spans="1:29" ht="40.200000000000003" thickBot="1" x14ac:dyDescent="0.35">
      <c r="A49" s="1" t="s">
        <v>0</v>
      </c>
      <c r="B49" s="1">
        <f t="shared" si="0"/>
        <v>2</v>
      </c>
      <c r="C49" s="1" t="s">
        <v>108</v>
      </c>
      <c r="D49" s="2"/>
      <c r="E49" s="3">
        <v>2</v>
      </c>
      <c r="F49" s="4">
        <v>45777</v>
      </c>
      <c r="G49" s="4">
        <v>45778</v>
      </c>
      <c r="H49" s="3">
        <v>1</v>
      </c>
      <c r="I49" s="5" t="s">
        <v>2</v>
      </c>
      <c r="J49" s="1"/>
      <c r="K49" s="6" t="s">
        <v>7</v>
      </c>
      <c r="L49" s="7">
        <v>5000</v>
      </c>
      <c r="M49" s="6"/>
      <c r="N49" s="6"/>
      <c r="O49" s="6"/>
      <c r="P49" s="6"/>
      <c r="Q49" s="6"/>
      <c r="R49" s="6"/>
      <c r="S49" s="6"/>
      <c r="T49" s="6"/>
      <c r="U49" s="7">
        <v>4600</v>
      </c>
      <c r="V49" s="7">
        <v>5000</v>
      </c>
      <c r="W49" s="3">
        <v>400</v>
      </c>
      <c r="X49" s="7">
        <v>4600</v>
      </c>
      <c r="Y49" s="6" t="s">
        <v>64</v>
      </c>
      <c r="Z49" s="6" t="s">
        <v>110</v>
      </c>
      <c r="AA49" s="6"/>
      <c r="AB49" s="6"/>
      <c r="AC49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</dc:creator>
  <cp:lastModifiedBy>pranav</cp:lastModifiedBy>
  <dcterms:created xsi:type="dcterms:W3CDTF">2025-08-24T06:42:17Z</dcterms:created>
  <dcterms:modified xsi:type="dcterms:W3CDTF">2025-08-24T07:07:04Z</dcterms:modified>
</cp:coreProperties>
</file>